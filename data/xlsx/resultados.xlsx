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Desktop\Trabajo AC\teamwork-ac-2025\data\xlsx\"/>
    </mc:Choice>
  </mc:AlternateContent>
  <xr:revisionPtr revIDLastSave="0" documentId="13_ncr:1_{6A9667CA-2BB7-4F9B-BF01-2C1ECB3D4D54}" xr6:coauthVersionLast="47" xr6:coauthVersionMax="47" xr10:uidLastSave="{00000000-0000-0000-0000-000000000000}"/>
  <bookViews>
    <workbookView xWindow="-28920" yWindow="-120" windowWidth="29040" windowHeight="16440" xr2:uid="{64E32888-7FF9-4962-B0B2-27FE6E737F4E}"/>
  </bookViews>
  <sheets>
    <sheet name="Hoja1" sheetId="1" r:id="rId1"/>
  </sheets>
  <definedNames>
    <definedName name="_xlchart.v1.0" hidden="1">Hoja1!$A$2</definedName>
    <definedName name="_xlchart.v1.1" hidden="1">Hoja1!$A$3</definedName>
    <definedName name="_xlchart.v1.2" hidden="1">Hoja1!$A$4</definedName>
    <definedName name="_xlchart.v1.3" hidden="1">Hoja1!$B$2:$K$2</definedName>
    <definedName name="_xlchart.v1.4" hidden="1">Hoja1!$B$3:$K$3</definedName>
    <definedName name="_xlchart.v1.5" hidden="1">Hoja1!$B$4:$K$4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N3" i="1"/>
  <c r="N4" i="1"/>
  <c r="O2" i="1"/>
  <c r="N2" i="1"/>
  <c r="B10" i="1"/>
  <c r="R2" i="1"/>
  <c r="L3" i="1"/>
  <c r="R3" i="1" s="1"/>
  <c r="M3" i="1"/>
  <c r="L4" i="1"/>
  <c r="R4" i="1" s="1"/>
  <c r="B11" i="1" s="1"/>
  <c r="M4" i="1"/>
  <c r="M2" i="1"/>
  <c r="L2" i="1"/>
  <c r="Q4" i="1" l="1"/>
  <c r="P4" i="1"/>
  <c r="Q3" i="1"/>
  <c r="P3" i="1"/>
  <c r="Q2" i="1"/>
  <c r="P2" i="1"/>
</calcChain>
</file>

<file path=xl/sharedStrings.xml><?xml version="1.0" encoding="utf-8"?>
<sst xmlns="http://schemas.openxmlformats.org/spreadsheetml/2006/main" count="25" uniqueCount="24">
  <si>
    <t>Prueba 1</t>
  </si>
  <si>
    <t>Prueba 2</t>
  </si>
  <si>
    <t>Prueba 3</t>
  </si>
  <si>
    <t>Prueba 4</t>
  </si>
  <si>
    <t>Prueba 5</t>
  </si>
  <si>
    <t>Prueba 6</t>
  </si>
  <si>
    <t>Prueba 7</t>
  </si>
  <si>
    <t>Prueba 8</t>
  </si>
  <si>
    <t>Prueba 9</t>
  </si>
  <si>
    <t>Prueba 10</t>
  </si>
  <si>
    <t>Media</t>
  </si>
  <si>
    <t>Desviación Típica</t>
  </si>
  <si>
    <t>Extr. Inf. Interv. Conf (t Student)</t>
  </si>
  <si>
    <t>Extr. Sup. Interv. Conf. (t Student)</t>
  </si>
  <si>
    <t>Extr. Sup. Interv. Conf. (TCL)</t>
  </si>
  <si>
    <t>Extr. Inf. Interv. Conf. (TCL)</t>
  </si>
  <si>
    <t>SIMD</t>
  </si>
  <si>
    <t>ACELERACION</t>
  </si>
  <si>
    <t>SINGLE</t>
  </si>
  <si>
    <t>-</t>
  </si>
  <si>
    <t>MULTI</t>
  </si>
  <si>
    <t>PRODUCTIVIDAD (TAREAS/MIN)</t>
  </si>
  <si>
    <t>SINGLE THREAD</t>
  </si>
  <si>
    <t>MULTI THREAD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</si>
</sst>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medio de ejecución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Hoja1!$A$2</c:f>
              <c:strCache>
                <c:ptCount val="1"/>
                <c:pt idx="0">
                  <c:v>SINGLE THREAD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Hoja1!$B$1:$R$1</c15:sqref>
                  </c15:fullRef>
                </c:ext>
              </c:extLst>
              <c:f>Hoja1!$L$1</c:f>
              <c:strCache>
                <c:ptCount val="1"/>
                <c:pt idx="0">
                  <c:v>Media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Hoja1!$B$2:$R$2</c15:sqref>
                  </c15:fullRef>
                </c:ext>
              </c:extLst>
              <c:f>Hoja1!$L$2</c:f>
              <c:numCache>
                <c:formatCode>0.00</c:formatCode>
                <c:ptCount val="1"/>
                <c:pt idx="0">
                  <c:v>10.394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1-412B-8A66-0C467707654F}"/>
            </c:ext>
          </c:extLst>
        </c:ser>
        <c:ser>
          <c:idx val="1"/>
          <c:order val="1"/>
          <c:tx>
            <c:strRef>
              <c:f>Hoja1!$A$3</c:f>
              <c:strCache>
                <c:ptCount val="1"/>
                <c:pt idx="0">
                  <c:v>MULTI THREAD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Hoja1!$B$1:$R$1</c15:sqref>
                  </c15:fullRef>
                </c:ext>
              </c:extLst>
              <c:f>Hoja1!$L$1</c:f>
              <c:strCache>
                <c:ptCount val="1"/>
                <c:pt idx="0">
                  <c:v>Media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Hoja1!$B$3:$R$3</c15:sqref>
                  </c15:fullRef>
                </c:ext>
              </c:extLst>
              <c:f>Hoja1!$L$3</c:f>
              <c:numCache>
                <c:formatCode>0.00</c:formatCode>
                <c:ptCount val="1"/>
                <c:pt idx="0">
                  <c:v>6.588000000000001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1-412B-8A66-0C467707654F}"/>
            </c:ext>
          </c:extLst>
        </c:ser>
        <c:ser>
          <c:idx val="2"/>
          <c:order val="2"/>
          <c:tx>
            <c:strRef>
              <c:f>Hoja1!$A$4</c:f>
              <c:strCache>
                <c:ptCount val="1"/>
                <c:pt idx="0">
                  <c:v>SIMD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Hoja1!$B$1:$R$1</c15:sqref>
                  </c15:fullRef>
                </c:ext>
              </c:extLst>
              <c:f>Hoja1!$L$1</c:f>
              <c:strCache>
                <c:ptCount val="1"/>
                <c:pt idx="0">
                  <c:v>Media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Hoja1!$B$4:$R$4</c15:sqref>
                  </c15:fullRef>
                </c:ext>
              </c:extLst>
              <c:f>Hoja1!$L$4</c:f>
              <c:numCache>
                <c:formatCode>0.00</c:formatCode>
                <c:ptCount val="1"/>
                <c:pt idx="0">
                  <c:v>14.003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1-412B-8A66-0C467707654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7599520"/>
        <c:axId val="317590880"/>
      </c:barChart>
      <c:catAx>
        <c:axId val="31759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17590880"/>
        <c:crosses val="autoZero"/>
        <c:auto val="1"/>
        <c:lblAlgn val="ctr"/>
        <c:lblOffset val="100"/>
        <c:noMultiLvlLbl val="0"/>
      </c:catAx>
      <c:valAx>
        <c:axId val="3175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Tiempo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1759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  <cx:data id="1">
      <cx:numDim type="val">
        <cx:f dir="row">_xlchart.v1.4</cx:f>
      </cx:numDim>
    </cx:data>
    <cx:data id="2">
      <cx:numDim type="val">
        <cx:f dir="row">_xlchart.v1.5</cx:f>
      </cx:numDim>
    </cx:data>
  </cx:chartData>
  <cx:chart>
    <cx:title pos="t" align="ctr" overlay="0">
      <cx:tx>
        <cx:txData>
          <cx:v>Boxplot de tiempos de ejecución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Boxplot de tiempos de ejecución</a:t>
          </a:r>
        </a:p>
      </cx:txPr>
    </cx:title>
    <cx:plotArea>
      <cx:plotAreaRegion>
        <cx:series layoutId="boxWhisker" uniqueId="{BF91AD1F-C265-42D7-824F-590818849E31}">
          <cx:tx>
            <cx:txData>
              <cx:f>_xlchart.v1.0</cx:f>
              <cx:v>SINGLE THREAD</cx:v>
            </cx:txData>
          </cx:tx>
          <cx:dataId val="0"/>
          <cx:layoutPr>
            <cx:statistics quartileMethod="exclusive"/>
          </cx:layoutPr>
        </cx:series>
        <cx:series layoutId="boxWhisker" uniqueId="{00000004-851F-487B-BACA-778D4469B33A}">
          <cx:tx>
            <cx:txData>
              <cx:f>_xlchart.v1.1</cx:f>
              <cx:v>MULTI THREAD</cx:v>
            </cx:txData>
          </cx:tx>
          <cx:dataId val="1"/>
          <cx:layoutPr>
            <cx:statistics quartileMethod="exclusive"/>
          </cx:layoutPr>
        </cx:series>
        <cx:series layoutId="boxWhisker" uniqueId="{00000005-851F-487B-BACA-778D4469B33A}">
          <cx:tx>
            <cx:txData>
              <cx:f>_xlchart.v1.2</cx:f>
              <cx:v>SIMD</cx:v>
            </cx:txData>
          </cx:tx>
          <cx:dataId val="2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5" min="6"/>
        <cx:title>
          <cx:tx>
            <cx:txData>
              <cx:v>Tiempo (s)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Tiempo (s)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257174</xdr:colOff>
      <xdr:row>22</xdr:row>
      <xdr:rowOff>30480</xdr:rowOff>
    </xdr:from>
    <xdr:to>
      <xdr:col>7</xdr:col>
      <xdr:colOff>167639</xdr:colOff>
      <xdr:row>38</xdr:row>
      <xdr:rowOff>184784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CC2068E-FA9B-081C-23FA-558FCC4C4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372427</xdr:colOff>
      <xdr:row>14</xdr:row>
      <xdr:rowOff>0</xdr:rowOff>
    </xdr:from>
    <xdr:to>
      <xdr:col>14</xdr:col>
      <xdr:colOff>832486</xdr:colOff>
      <xdr:row>39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5A728E3A-3339-EB9F-A963-6D360C3257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87752" y="2667000"/>
              <a:ext cx="4860609" cy="476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2E26-47F6-4350-B42D-F2D297B06200}">
  <dimension ref="A1:S14"/>
  <sheetViews>
    <sheetView tabSelected="1" topLeftCell="D1" workbookViewId="0">
      <selection activeCell="O7" sqref="O7"/>
    </sheetView>
  </sheetViews>
  <sheetFormatPr baseColWidth="10" defaultRowHeight="15" x14ac:dyDescent="0.25"/>
  <cols>
    <col min="1" max="1" width="16.28515625" bestFit="1" customWidth="1"/>
    <col min="2" max="10" width="10.7109375" bestFit="1" customWidth="1"/>
    <col min="11" max="11" width="12" bestFit="1" customWidth="1"/>
    <col min="12" max="12" width="7.85546875" bestFit="1" customWidth="1"/>
    <col min="13" max="13" width="20.85546875" bestFit="1" customWidth="1"/>
    <col min="14" max="14" width="37.28515625" bestFit="1" customWidth="1"/>
    <col min="15" max="15" width="39.28515625" bestFit="1" customWidth="1"/>
    <col min="16" max="16" width="33.42578125" bestFit="1" customWidth="1"/>
    <col min="17" max="17" width="34.7109375" bestFit="1" customWidth="1"/>
    <col min="18" max="18" width="42.5703125" bestFit="1" customWidth="1"/>
    <col min="19" max="19" width="23.140625" bestFit="1" customWidth="1"/>
  </cols>
  <sheetData>
    <row r="1" spans="1:19" x14ac:dyDescent="0.25">
      <c r="A1" s="13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15</v>
      </c>
      <c r="Q1" s="3" t="s">
        <v>14</v>
      </c>
      <c r="R1" s="3" t="s">
        <v>21</v>
      </c>
      <c r="S1" s="4"/>
    </row>
    <row r="2" spans="1:19" x14ac:dyDescent="0.25">
      <c r="A2" s="13" t="s">
        <v>22</v>
      </c>
      <c r="B2" s="5">
        <v>10.27</v>
      </c>
      <c r="C2" s="5">
        <v>10.54</v>
      </c>
      <c r="D2" s="5">
        <v>10.64</v>
      </c>
      <c r="E2" s="5">
        <v>10.43</v>
      </c>
      <c r="F2" s="5">
        <v>10.49</v>
      </c>
      <c r="G2" s="5">
        <v>10.3</v>
      </c>
      <c r="H2" s="5">
        <v>10.33</v>
      </c>
      <c r="I2" s="5">
        <v>10.38</v>
      </c>
      <c r="J2" s="5">
        <v>10.35</v>
      </c>
      <c r="K2" s="5">
        <v>10.210000000000001</v>
      </c>
      <c r="L2" s="5">
        <f>AVERAGE(B2:K2)</f>
        <v>10.394</v>
      </c>
      <c r="M2" s="5">
        <f>STDEVA(B2:K2)</f>
        <v>0.13192590513028293</v>
      </c>
      <c r="N2" s="5">
        <f>L2 - _xlfn.CONFIDENCE.T(0.025,M2,9)</f>
        <v>10.273000919700683</v>
      </c>
      <c r="O2" s="5">
        <f>L2 + _xlfn.CONFIDENCE.T(0.025,M2,9)</f>
        <v>10.514999080299317</v>
      </c>
      <c r="P2" s="5">
        <f xml:space="preserve"> L2 - 2*M2</f>
        <v>10.130148189739435</v>
      </c>
      <c r="Q2" s="5">
        <f xml:space="preserve"> L2 + 2*M2</f>
        <v>10.657851810260565</v>
      </c>
      <c r="R2" s="4">
        <f>60/L2</f>
        <v>5.7725610929382336</v>
      </c>
      <c r="S2" s="4"/>
    </row>
    <row r="3" spans="1:19" x14ac:dyDescent="0.25">
      <c r="A3" s="13" t="s">
        <v>23</v>
      </c>
      <c r="B3" s="5">
        <v>6.72</v>
      </c>
      <c r="C3" s="5">
        <v>6.58</v>
      </c>
      <c r="D3" s="5">
        <v>6.57</v>
      </c>
      <c r="E3" s="5">
        <v>6.6</v>
      </c>
      <c r="F3" s="5">
        <v>6.54</v>
      </c>
      <c r="G3" s="5">
        <v>6.49</v>
      </c>
      <c r="H3" s="5">
        <v>6.47</v>
      </c>
      <c r="I3" s="5">
        <v>6.63</v>
      </c>
      <c r="J3" s="5">
        <v>6.56</v>
      </c>
      <c r="K3" s="5">
        <v>6.72</v>
      </c>
      <c r="L3" s="5">
        <f t="shared" ref="L3:L4" si="0">AVERAGE(B3:K3)</f>
        <v>6.588000000000001</v>
      </c>
      <c r="M3" s="5">
        <f t="shared" ref="M3:M4" si="1">STDEVA(B3:K3)</f>
        <v>8.4169141877795284E-2</v>
      </c>
      <c r="N3" s="5">
        <f t="shared" ref="N3:N4" si="2">L3 - _xlfn.CONFIDENCE.T(0.025,M3,9)</f>
        <v>6.5108022066876234</v>
      </c>
      <c r="O3" s="5">
        <f t="shared" ref="O3:O4" si="3">L3 + _xlfn.CONFIDENCE.T(0.025,M3,9)</f>
        <v>6.6651977933123785</v>
      </c>
      <c r="P3" s="5">
        <f t="shared" ref="P3:P4" si="4" xml:space="preserve"> L3 - 2*M3</f>
        <v>6.4196617162444101</v>
      </c>
      <c r="Q3" s="5">
        <f t="shared" ref="Q3:Q4" si="5" xml:space="preserve"> L3 + 2*M3</f>
        <v>6.7563382837555919</v>
      </c>
      <c r="R3" s="4">
        <f>60/L3</f>
        <v>9.1074681238615653</v>
      </c>
      <c r="S3" s="4"/>
    </row>
    <row r="4" spans="1:19" x14ac:dyDescent="0.25">
      <c r="A4" s="13" t="s">
        <v>16</v>
      </c>
      <c r="B4" s="5">
        <v>13.96</v>
      </c>
      <c r="C4" s="5">
        <v>14.22</v>
      </c>
      <c r="D4" s="5">
        <v>13.98</v>
      </c>
      <c r="E4" s="5">
        <v>14.13</v>
      </c>
      <c r="F4" s="5">
        <v>13.7</v>
      </c>
      <c r="G4" s="5">
        <v>13.82</v>
      </c>
      <c r="H4" s="5">
        <v>14.12</v>
      </c>
      <c r="I4" s="5">
        <v>13.71</v>
      </c>
      <c r="J4" s="5">
        <v>14.1</v>
      </c>
      <c r="K4" s="5">
        <v>14.29</v>
      </c>
      <c r="L4" s="5">
        <f t="shared" si="0"/>
        <v>14.003</v>
      </c>
      <c r="M4" s="5">
        <f t="shared" si="1"/>
        <v>0.20607711609438278</v>
      </c>
      <c r="N4" s="5">
        <f t="shared" si="2"/>
        <v>13.813991317485893</v>
      </c>
      <c r="O4" s="5">
        <f t="shared" si="3"/>
        <v>14.192008682514107</v>
      </c>
      <c r="P4" s="5">
        <f t="shared" si="4"/>
        <v>13.590845767811235</v>
      </c>
      <c r="Q4" s="5">
        <f t="shared" si="5"/>
        <v>14.415154232188765</v>
      </c>
      <c r="R4" s="4">
        <f>60/L4</f>
        <v>4.2847961151181888</v>
      </c>
      <c r="S4" s="4"/>
    </row>
    <row r="5" spans="1:19" x14ac:dyDescent="0.25">
      <c r="A5" s="1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spans="1:19" x14ac:dyDescent="0.25">
      <c r="A6" s="1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9" x14ac:dyDescent="0.25">
      <c r="A7" s="1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9" x14ac:dyDescent="0.25">
      <c r="A8" s="6" t="s">
        <v>17</v>
      </c>
      <c r="B8" s="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9" x14ac:dyDescent="0.25">
      <c r="A9" s="8" t="s">
        <v>18</v>
      </c>
      <c r="B9" s="9" t="s">
        <v>19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10"/>
    </row>
    <row r="10" spans="1:19" x14ac:dyDescent="0.25">
      <c r="A10" s="8" t="s">
        <v>20</v>
      </c>
      <c r="B10" s="9">
        <f>R3/R2</f>
        <v>1.5777170613236184</v>
      </c>
    </row>
    <row r="11" spans="1:19" x14ac:dyDescent="0.25">
      <c r="A11" s="11" t="s">
        <v>16</v>
      </c>
      <c r="B11" s="12">
        <f>R4/R2</f>
        <v>0.74226951367564087</v>
      </c>
    </row>
    <row r="13" spans="1:19" x14ac:dyDescent="0.25">
      <c r="D13" s="1"/>
      <c r="R13" s="1"/>
    </row>
    <row r="14" spans="1:19" x14ac:dyDescent="0.25">
      <c r="D14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Díaz Mendaña</dc:creator>
  <cp:lastModifiedBy>Mateo Rama García</cp:lastModifiedBy>
  <dcterms:created xsi:type="dcterms:W3CDTF">2025-09-29T16:05:32Z</dcterms:created>
  <dcterms:modified xsi:type="dcterms:W3CDTF">2025-11-28T11:05:31Z</dcterms:modified>
</cp:coreProperties>
</file>