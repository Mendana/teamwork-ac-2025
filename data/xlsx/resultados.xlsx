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ERA\Desktop\AC\teamwork-ac-2025\data\xlsx\"/>
    </mc:Choice>
  </mc:AlternateContent>
  <xr:revisionPtr revIDLastSave="0" documentId="13_ncr:1_{89887B12-7508-4BD4-AB88-B0C40FCBEACB}" xr6:coauthVersionLast="47" xr6:coauthVersionMax="47" xr10:uidLastSave="{00000000-0000-0000-0000-000000000000}"/>
  <bookViews>
    <workbookView xWindow="-28920" yWindow="-135" windowWidth="29040" windowHeight="16440" xr2:uid="{64E32888-7FF9-4962-B0B2-27FE6E737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R2" i="1"/>
  <c r="L3" i="1"/>
  <c r="R3" i="1" s="1"/>
  <c r="M3" i="1"/>
  <c r="L4" i="1"/>
  <c r="R4" i="1" s="1"/>
  <c r="B11" i="1" s="1"/>
  <c r="M4" i="1"/>
  <c r="M2" i="1"/>
  <c r="L2" i="1"/>
  <c r="N4" i="1" l="1"/>
  <c r="N3" i="1"/>
  <c r="Q4" i="1"/>
  <c r="P4" i="1"/>
  <c r="O4" i="1"/>
  <c r="Q3" i="1"/>
  <c r="P3" i="1"/>
  <c r="O3" i="1"/>
  <c r="Q2" i="1"/>
  <c r="P2" i="1"/>
  <c r="O2" i="1"/>
  <c r="N2" i="1"/>
</calcChain>
</file>

<file path=xl/sharedStrings.xml><?xml version="1.0" encoding="utf-8"?>
<sst xmlns="http://schemas.openxmlformats.org/spreadsheetml/2006/main" count="25" uniqueCount="24">
  <si>
    <t>Prueba 1</t>
  </si>
  <si>
    <t>Prueba 2</t>
  </si>
  <si>
    <t>Prueba 3</t>
  </si>
  <si>
    <t>Prueba 4</t>
  </si>
  <si>
    <t>Prueba 5</t>
  </si>
  <si>
    <t>Prueba 6</t>
  </si>
  <si>
    <t>Prueba 7</t>
  </si>
  <si>
    <t>Prueba 8</t>
  </si>
  <si>
    <t>Prueba 9</t>
  </si>
  <si>
    <t>Prueba 10</t>
  </si>
  <si>
    <t>Media</t>
  </si>
  <si>
    <t>Desviación Típica</t>
  </si>
  <si>
    <t>Extr. Inf. Interv. Conf (t Student)</t>
  </si>
  <si>
    <t>Extr. Sup. Interv. Conf. (t Student)</t>
  </si>
  <si>
    <t>Extr. Sup. Interv. Conf. (TCL)</t>
  </si>
  <si>
    <t>Extr. Inf. Interv. Conf. (TCL)</t>
  </si>
  <si>
    <t>SIMD</t>
  </si>
  <si>
    <t>ACELERACION</t>
  </si>
  <si>
    <t>SINGLE</t>
  </si>
  <si>
    <t>-</t>
  </si>
  <si>
    <t>MULTI</t>
  </si>
  <si>
    <t>PRODUCTIVIDAD (TAREAS/MIN)</t>
  </si>
  <si>
    <t>SINGLE THREAD</t>
  </si>
  <si>
    <t>MULTI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</si>
</sst>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2E26-47F6-4350-B42D-F2D297B06200}">
  <dimension ref="A1:S32"/>
  <sheetViews>
    <sheetView tabSelected="1" workbookViewId="0">
      <selection activeCell="I32" sqref="I32"/>
    </sheetView>
  </sheetViews>
  <sheetFormatPr baseColWidth="10" defaultRowHeight="15" x14ac:dyDescent="0.25"/>
  <cols>
    <col min="1" max="1" width="16.28515625" bestFit="1" customWidth="1"/>
    <col min="2" max="10" width="10.7109375" bestFit="1" customWidth="1"/>
    <col min="11" max="11" width="12" bestFit="1" customWidth="1"/>
    <col min="12" max="12" width="7.85546875" bestFit="1" customWidth="1"/>
    <col min="13" max="13" width="20.85546875" bestFit="1" customWidth="1"/>
    <col min="14" max="14" width="37.28515625" bestFit="1" customWidth="1"/>
    <col min="15" max="15" width="39.28515625" bestFit="1" customWidth="1"/>
    <col min="16" max="16" width="33.42578125" bestFit="1" customWidth="1"/>
    <col min="17" max="17" width="34.7109375" bestFit="1" customWidth="1"/>
    <col min="18" max="18" width="42.5703125" bestFit="1" customWidth="1"/>
    <col min="19" max="19" width="23.140625" bestFit="1" customWidth="1"/>
  </cols>
  <sheetData>
    <row r="1" spans="1:19" x14ac:dyDescent="0.25">
      <c r="A1" s="1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15</v>
      </c>
      <c r="Q1" s="3" t="s">
        <v>14</v>
      </c>
      <c r="R1" s="3" t="s">
        <v>21</v>
      </c>
      <c r="S1" s="4"/>
    </row>
    <row r="2" spans="1:19" x14ac:dyDescent="0.25">
      <c r="A2" s="13" t="s">
        <v>22</v>
      </c>
      <c r="B2" s="5">
        <v>10.27</v>
      </c>
      <c r="C2" s="5">
        <v>10.54</v>
      </c>
      <c r="D2" s="5">
        <v>10.64</v>
      </c>
      <c r="E2" s="5">
        <v>10.43</v>
      </c>
      <c r="F2" s="5">
        <v>10.49</v>
      </c>
      <c r="G2" s="5">
        <v>10.3</v>
      </c>
      <c r="H2" s="5">
        <v>10.33</v>
      </c>
      <c r="I2" s="5">
        <v>10.38</v>
      </c>
      <c r="J2" s="5">
        <v>10.35</v>
      </c>
      <c r="K2" s="5">
        <v>10.210000000000001</v>
      </c>
      <c r="L2" s="5">
        <f>AVERAGE(B2:K2)</f>
        <v>10.394</v>
      </c>
      <c r="M2" s="5">
        <f>STDEVA(B2:K2)</f>
        <v>0.13192590513028293</v>
      </c>
      <c r="N2" s="5">
        <f>L2 - _xlfn.CONFIDENCE.T(0.05,M2,10)/2</f>
        <v>10.346812946344311</v>
      </c>
      <c r="O2" s="5">
        <f>L2 + _xlfn.CONFIDENCE.T(0.05,M2,10)/2</f>
        <v>10.441187053655689</v>
      </c>
      <c r="P2" s="5">
        <f xml:space="preserve"> L2 - 2*M2</f>
        <v>10.130148189739435</v>
      </c>
      <c r="Q2" s="5">
        <f xml:space="preserve"> L2 + 2*M2</f>
        <v>10.657851810260565</v>
      </c>
      <c r="R2" s="4">
        <f>60/L2</f>
        <v>5.7725610929382336</v>
      </c>
      <c r="S2" s="4"/>
    </row>
    <row r="3" spans="1:19" x14ac:dyDescent="0.25">
      <c r="A3" s="13" t="s">
        <v>23</v>
      </c>
      <c r="B3" s="5">
        <v>6.72</v>
      </c>
      <c r="C3" s="5">
        <v>6.58</v>
      </c>
      <c r="D3" s="5">
        <v>6.57</v>
      </c>
      <c r="E3" s="5">
        <v>6.6</v>
      </c>
      <c r="F3" s="5">
        <v>6.54</v>
      </c>
      <c r="G3" s="5">
        <v>6.49</v>
      </c>
      <c r="H3" s="5">
        <v>6.47</v>
      </c>
      <c r="I3" s="5">
        <v>6.63</v>
      </c>
      <c r="J3" s="5">
        <v>6.56</v>
      </c>
      <c r="K3" s="5">
        <v>6.72</v>
      </c>
      <c r="L3" s="5">
        <f t="shared" ref="L3:L4" si="0">AVERAGE(B3:K3)</f>
        <v>6.588000000000001</v>
      </c>
      <c r="M3" s="5">
        <f t="shared" ref="M3:M4" si="1">STDEVA(B3:K3)</f>
        <v>8.4169141877795284E-2</v>
      </c>
      <c r="N3" s="5">
        <f t="shared" ref="N3:N4" si="2">L3 - _xlfn.CONFIDENCE.T(0.05,M3,10)/2</f>
        <v>6.5578945115440481</v>
      </c>
      <c r="O3" s="5">
        <f t="shared" ref="O3:O4" si="3">L3 + _xlfn.CONFIDENCE.T(0.05,M3,10)/2</f>
        <v>6.6181054884559538</v>
      </c>
      <c r="P3" s="5">
        <f t="shared" ref="P3:P4" si="4" xml:space="preserve"> L3 - 2*M3</f>
        <v>6.4196617162444101</v>
      </c>
      <c r="Q3" s="5">
        <f t="shared" ref="Q3:Q4" si="5" xml:space="preserve"> L3 + 2*M3</f>
        <v>6.7563382837555919</v>
      </c>
      <c r="R3" s="4">
        <f>60/L3</f>
        <v>9.1074681238615653</v>
      </c>
      <c r="S3" s="4"/>
    </row>
    <row r="4" spans="1:19" x14ac:dyDescent="0.25">
      <c r="A4" s="13" t="s">
        <v>16</v>
      </c>
      <c r="B4" s="5">
        <v>13.96</v>
      </c>
      <c r="C4" s="5">
        <v>14.22</v>
      </c>
      <c r="D4" s="5">
        <v>13.98</v>
      </c>
      <c r="E4" s="5">
        <v>14.13</v>
      </c>
      <c r="F4" s="5">
        <v>13.7</v>
      </c>
      <c r="G4" s="5">
        <v>13.82</v>
      </c>
      <c r="H4" s="5">
        <v>14.12</v>
      </c>
      <c r="I4" s="5">
        <v>13.71</v>
      </c>
      <c r="J4" s="5">
        <v>14.1</v>
      </c>
      <c r="K4" s="5">
        <v>14.29</v>
      </c>
      <c r="L4" s="5">
        <f t="shared" si="0"/>
        <v>14.003</v>
      </c>
      <c r="M4" s="5">
        <f t="shared" si="1"/>
        <v>0.20607711609438278</v>
      </c>
      <c r="N4" s="5">
        <f t="shared" si="2"/>
        <v>13.929290655919683</v>
      </c>
      <c r="O4" s="5">
        <f t="shared" si="3"/>
        <v>14.076709344080317</v>
      </c>
      <c r="P4" s="5">
        <f t="shared" si="4"/>
        <v>13.590845767811235</v>
      </c>
      <c r="Q4" s="5">
        <f t="shared" si="5"/>
        <v>14.415154232188765</v>
      </c>
      <c r="R4" s="4">
        <f>60/L4</f>
        <v>4.2847961151181888</v>
      </c>
      <c r="S4" s="4"/>
    </row>
    <row r="5" spans="1:19" x14ac:dyDescent="0.2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2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9" x14ac:dyDescent="0.25">
      <c r="A7" s="1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9" x14ac:dyDescent="0.25">
      <c r="A8" s="6" t="s">
        <v>17</v>
      </c>
      <c r="B8" s="7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9" x14ac:dyDescent="0.25">
      <c r="A9" s="8" t="s">
        <v>18</v>
      </c>
      <c r="B9" s="9" t="s">
        <v>19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0"/>
    </row>
    <row r="10" spans="1:19" x14ac:dyDescent="0.25">
      <c r="A10" s="8" t="s">
        <v>20</v>
      </c>
      <c r="B10" s="9">
        <f>R3/R2</f>
        <v>1.5777170613236184</v>
      </c>
    </row>
    <row r="11" spans="1:19" x14ac:dyDescent="0.25">
      <c r="A11" s="11" t="s">
        <v>16</v>
      </c>
      <c r="B11" s="12">
        <f>R4/R2</f>
        <v>0.74226951367564087</v>
      </c>
    </row>
    <row r="13" spans="1:19" x14ac:dyDescent="0.25">
      <c r="D13" s="1"/>
      <c r="R13" s="1"/>
    </row>
    <row r="14" spans="1:19" x14ac:dyDescent="0.25">
      <c r="D14" s="1"/>
    </row>
    <row r="32" spans="9:9" x14ac:dyDescent="0.25">
      <c r="I32" s="1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Díaz Mendaña</dc:creator>
  <cp:lastModifiedBy>Pablo García</cp:lastModifiedBy>
  <dcterms:created xsi:type="dcterms:W3CDTF">2025-09-29T16:05:32Z</dcterms:created>
  <dcterms:modified xsi:type="dcterms:W3CDTF">2025-11-25T18:05:46Z</dcterms:modified>
</cp:coreProperties>
</file>